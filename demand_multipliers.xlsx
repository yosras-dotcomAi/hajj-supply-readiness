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mand Multipliers" sheetId="1" state="visible" r:id="rId3"/>
    <sheet name="Notes &amp; Assum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<sst xmlns="http://schemas.openxmlformats.org/spreadsheetml/2006/main" count="41" uniqueCount="28">
  <si>
    <t xml:space="preserve">Assumed Demand Multipliers: Field Hospital in Mina, Hajj 2026</t>
  </si>
  <si>
    <t xml:space="preserve">Multiplier = demand on that day compared with a normal pre-season day. Blue cells are inputs you can edit.</t>
  </si>
  <si>
    <t xml:space="preserve">Normal daily use of an example item (units)</t>
  </si>
  <si>
    <t xml:space="preserve">Date</t>
  </si>
  <si>
    <t xml:space="preserve">Hijri day</t>
  </si>
  <si>
    <t xml:space="preserve">Phase</t>
  </si>
  <si>
    <t xml:space="preserve">Multiplier (x)</t>
  </si>
  <si>
    <t xml:space="preserve">Example daily demand (units)</t>
  </si>
  <si>
    <t xml:space="preserve">Initial operation</t>
  </si>
  <si>
    <t xml:space="preserve">Pilgrim arrival</t>
  </si>
  <si>
    <t xml:space="preserve">8 Dhul Hijjah</t>
  </si>
  <si>
    <t xml:space="preserve">Hajj days</t>
  </si>
  <si>
    <t xml:space="preserve">9 Dhul Hijjah (Arafah)</t>
  </si>
  <si>
    <t xml:space="preserve">10 Dhul Hijjah (Eid)</t>
  </si>
  <si>
    <t xml:space="preserve">11 Dhul Hijjah</t>
  </si>
  <si>
    <t xml:space="preserve">12 Dhul Hijjah</t>
  </si>
  <si>
    <t xml:space="preserve">13 Dhul Hijjah</t>
  </si>
  <si>
    <t xml:space="preserve">Closing</t>
  </si>
  <si>
    <t xml:space="preserve">Peak multiplier</t>
  </si>
  <si>
    <t xml:space="preserve">Average multiplier over the season</t>
  </si>
  <si>
    <t xml:space="preserve">Total example demand over the season (units)</t>
  </si>
  <si>
    <t xml:space="preserve">Notes &amp; Assumptions</t>
  </si>
  <si>
    <t xml:space="preserve">Source of the 5x peak: provided by the project owner (usage on 8, 10 and 11 Dhul Hijjah was about 5 times a normal pre-season day).</t>
  </si>
  <si>
    <t xml:space="preserve">Operating period 15-31 May 2026 and the peak days: provided by the project owner.</t>
  </si>
  <si>
    <t xml:space="preserve">Hajj dates (8 Dhul Hijjah = 25 May, Arafah = 26 May, Eid = 27 May, 13 Dhul Hijjah = 30 May 2026): published calendars, subject to moon sighting. Example: https://blog.wego.com/hajj-date/</t>
  </si>
  <si>
    <t xml:space="preserve">ASSUMPTION: Arafah day (26 May) = 2.0x, because most pilgrims are at Arafat. Please confirm or correct.</t>
  </si>
  <si>
    <t xml:space="preserve">ASSUMPTION: ramp-up from 1.2x to 1.8x during 20-24 May, and wind-down (3.0x, 2.0x, 1.2x). Illustrative shape only.</t>
  </si>
  <si>
    <t xml:space="preserve">The example item column is only a demonstration of how the multiplier scales demand. Change cell D4 on the first sheet.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</si>
</sst>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0.0\x"/>
    <numFmt numFmtId="167" formatCode="#,##0"/>
    <numFmt numFmtId="168" formatCode="0.0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64653"/>
        <bgColor rgb="FF003366"/>
      </patternFill>
    </fill>
    <fill>
      <patternFill patternType="solid">
        <fgColor rgb="FFF8D7DA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646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D4" s="4" t="n">
        <v>100</v>
      </c>
    </row>
    <row r="6" customFormat="false" ht="31.5" hidden="false" customHeight="tru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</row>
    <row r="7" customFormat="false" ht="15" hidden="false" customHeight="false" outlineLevel="0" collapsed="false">
      <c r="A7" s="6" t="n">
        <v>46157</v>
      </c>
      <c r="B7" s="7"/>
      <c r="C7" s="7" t="s">
        <v>8</v>
      </c>
      <c r="D7" s="8" t="n">
        <v>1</v>
      </c>
      <c r="E7" s="9" t="n">
        <f aca="false">$D$4*D7</f>
        <v>100</v>
      </c>
    </row>
    <row r="8" customFormat="false" ht="15" hidden="false" customHeight="false" outlineLevel="0" collapsed="false">
      <c r="A8" s="6" t="n">
        <v>46158</v>
      </c>
      <c r="B8" s="7"/>
      <c r="C8" s="7" t="s">
        <v>8</v>
      </c>
      <c r="D8" s="8" t="n">
        <v>1</v>
      </c>
      <c r="E8" s="9" t="n">
        <f aca="false">$D$4*D8</f>
        <v>100</v>
      </c>
    </row>
    <row r="9" customFormat="false" ht="15" hidden="false" customHeight="false" outlineLevel="0" collapsed="false">
      <c r="A9" s="6" t="n">
        <v>46159</v>
      </c>
      <c r="B9" s="7"/>
      <c r="C9" s="7" t="s">
        <v>8</v>
      </c>
      <c r="D9" s="8" t="n">
        <v>1</v>
      </c>
      <c r="E9" s="9" t="n">
        <f aca="false">$D$4*D9</f>
        <v>100</v>
      </c>
    </row>
    <row r="10" customFormat="false" ht="15" hidden="false" customHeight="false" outlineLevel="0" collapsed="false">
      <c r="A10" s="6" t="n">
        <v>46160</v>
      </c>
      <c r="B10" s="7"/>
      <c r="C10" s="7" t="s">
        <v>8</v>
      </c>
      <c r="D10" s="8" t="n">
        <v>1</v>
      </c>
      <c r="E10" s="9" t="n">
        <f aca="false">$D$4*D10</f>
        <v>100</v>
      </c>
    </row>
    <row r="11" customFormat="false" ht="15" hidden="false" customHeight="false" outlineLevel="0" collapsed="false">
      <c r="A11" s="6" t="n">
        <v>46161</v>
      </c>
      <c r="B11" s="7"/>
      <c r="C11" s="7" t="s">
        <v>8</v>
      </c>
      <c r="D11" s="8" t="n">
        <v>1</v>
      </c>
      <c r="E11" s="9" t="n">
        <f aca="false">$D$4*D11</f>
        <v>100</v>
      </c>
    </row>
    <row r="12" customFormat="false" ht="15" hidden="false" customHeight="false" outlineLevel="0" collapsed="false">
      <c r="A12" s="6" t="n">
        <v>46162</v>
      </c>
      <c r="B12" s="7"/>
      <c r="C12" s="7" t="s">
        <v>9</v>
      </c>
      <c r="D12" s="8" t="n">
        <v>1.2</v>
      </c>
      <c r="E12" s="9" t="n">
        <f aca="false">$D$4*D12</f>
        <v>120</v>
      </c>
    </row>
    <row r="13" customFormat="false" ht="15" hidden="false" customHeight="false" outlineLevel="0" collapsed="false">
      <c r="A13" s="6" t="n">
        <v>46163</v>
      </c>
      <c r="B13" s="7"/>
      <c r="C13" s="7" t="s">
        <v>9</v>
      </c>
      <c r="D13" s="8" t="n">
        <v>1.3</v>
      </c>
      <c r="E13" s="9" t="n">
        <f aca="false">$D$4*D13</f>
        <v>130</v>
      </c>
    </row>
    <row r="14" customFormat="false" ht="15" hidden="false" customHeight="false" outlineLevel="0" collapsed="false">
      <c r="A14" s="6" t="n">
        <v>46164</v>
      </c>
      <c r="B14" s="7"/>
      <c r="C14" s="7" t="s">
        <v>9</v>
      </c>
      <c r="D14" s="8" t="n">
        <v>1.5</v>
      </c>
      <c r="E14" s="9" t="n">
        <f aca="false">$D$4*D14</f>
        <v>150</v>
      </c>
    </row>
    <row r="15" customFormat="false" ht="15" hidden="false" customHeight="false" outlineLevel="0" collapsed="false">
      <c r="A15" s="6" t="n">
        <v>46165</v>
      </c>
      <c r="B15" s="7"/>
      <c r="C15" s="7" t="s">
        <v>9</v>
      </c>
      <c r="D15" s="8" t="n">
        <v>1.6</v>
      </c>
      <c r="E15" s="9" t="n">
        <f aca="false">$D$4*D15</f>
        <v>160</v>
      </c>
    </row>
    <row r="16" customFormat="false" ht="15" hidden="false" customHeight="false" outlineLevel="0" collapsed="false">
      <c r="A16" s="6" t="n">
        <v>46166</v>
      </c>
      <c r="B16" s="7"/>
      <c r="C16" s="7" t="s">
        <v>9</v>
      </c>
      <c r="D16" s="8" t="n">
        <v>1.8</v>
      </c>
      <c r="E16" s="9" t="n">
        <f aca="false">$D$4*D16</f>
        <v>180</v>
      </c>
    </row>
    <row r="17" customFormat="false" ht="15" hidden="false" customHeight="false" outlineLevel="0" collapsed="false">
      <c r="A17" s="10" t="n">
        <v>46167</v>
      </c>
      <c r="B17" s="11" t="s">
        <v>10</v>
      </c>
      <c r="C17" s="11" t="s">
        <v>11</v>
      </c>
      <c r="D17" s="12" t="n">
        <v>5</v>
      </c>
      <c r="E17" s="13" t="n">
        <f aca="false">$D$4*D17</f>
        <v>500</v>
      </c>
    </row>
    <row r="18" customFormat="false" ht="15" hidden="false" customHeight="false" outlineLevel="0" collapsed="false">
      <c r="A18" s="6" t="n">
        <v>46168</v>
      </c>
      <c r="B18" s="7" t="s">
        <v>12</v>
      </c>
      <c r="C18" s="7" t="s">
        <v>11</v>
      </c>
      <c r="D18" s="8" t="n">
        <v>2</v>
      </c>
      <c r="E18" s="9" t="n">
        <f aca="false">$D$4*D18</f>
        <v>200</v>
      </c>
    </row>
    <row r="19" customFormat="false" ht="15" hidden="false" customHeight="false" outlineLevel="0" collapsed="false">
      <c r="A19" s="10" t="n">
        <v>46169</v>
      </c>
      <c r="B19" s="11" t="s">
        <v>13</v>
      </c>
      <c r="C19" s="11" t="s">
        <v>11</v>
      </c>
      <c r="D19" s="12" t="n">
        <v>5</v>
      </c>
      <c r="E19" s="13" t="n">
        <f aca="false">$D$4*D19</f>
        <v>500</v>
      </c>
    </row>
    <row r="20" customFormat="false" ht="15" hidden="false" customHeight="false" outlineLevel="0" collapsed="false">
      <c r="A20" s="10" t="n">
        <v>46170</v>
      </c>
      <c r="B20" s="11" t="s">
        <v>14</v>
      </c>
      <c r="C20" s="11" t="s">
        <v>11</v>
      </c>
      <c r="D20" s="12" t="n">
        <v>5</v>
      </c>
      <c r="E20" s="13" t="n">
        <f aca="false">$D$4*D20</f>
        <v>500</v>
      </c>
    </row>
    <row r="21" customFormat="false" ht="15" hidden="false" customHeight="false" outlineLevel="0" collapsed="false">
      <c r="A21" s="6" t="n">
        <v>46171</v>
      </c>
      <c r="B21" s="7" t="s">
        <v>15</v>
      </c>
      <c r="C21" s="7" t="s">
        <v>11</v>
      </c>
      <c r="D21" s="8" t="n">
        <v>3</v>
      </c>
      <c r="E21" s="9" t="n">
        <f aca="false">$D$4*D21</f>
        <v>300</v>
      </c>
    </row>
    <row r="22" customFormat="false" ht="15" hidden="false" customHeight="false" outlineLevel="0" collapsed="false">
      <c r="A22" s="6" t="n">
        <v>46172</v>
      </c>
      <c r="B22" s="7" t="s">
        <v>16</v>
      </c>
      <c r="C22" s="7" t="s">
        <v>11</v>
      </c>
      <c r="D22" s="8" t="n">
        <v>2</v>
      </c>
      <c r="E22" s="9" t="n">
        <f aca="false">$D$4*D22</f>
        <v>200</v>
      </c>
    </row>
    <row r="23" customFormat="false" ht="15" hidden="false" customHeight="false" outlineLevel="0" collapsed="false">
      <c r="A23" s="6" t="n">
        <v>46173</v>
      </c>
      <c r="B23" s="7"/>
      <c r="C23" s="7" t="s">
        <v>17</v>
      </c>
      <c r="D23" s="8" t="n">
        <v>1.2</v>
      </c>
      <c r="E23" s="9" t="n">
        <f aca="false">$D$4*D23</f>
        <v>120</v>
      </c>
    </row>
    <row r="25" customFormat="false" ht="15" hidden="false" customHeight="false" outlineLevel="0" collapsed="false">
      <c r="A25" s="3" t="s">
        <v>18</v>
      </c>
      <c r="E25" s="14" t="n">
        <f aca="false">MAX(D7:D23)</f>
        <v>5</v>
      </c>
    </row>
    <row r="26" customFormat="false" ht="15" hidden="false" customHeight="false" outlineLevel="0" collapsed="false">
      <c r="A26" s="3" t="s">
        <v>19</v>
      </c>
      <c r="E26" s="15" t="n">
        <f aca="false">AVERAGE(D7:D23)</f>
        <v>2.09411764705882</v>
      </c>
    </row>
    <row r="27" customFormat="false" ht="15" hidden="false" customHeight="false" outlineLevel="0" collapsed="false">
      <c r="A27" s="3" t="s">
        <v>20</v>
      </c>
      <c r="E27" s="16" t="n">
        <f aca="false">SUM(E7:E23)</f>
        <v>3560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7" t="s">
        <v>21</v>
      </c>
    </row>
    <row r="2" customFormat="false" ht="15" hidden="false" customHeight="false" outlineLevel="0" collapsed="false">
      <c r="A2" s="18" t="s">
        <v>22</v>
      </c>
    </row>
    <row r="3" customFormat="false" ht="15" hidden="false" customHeight="false" outlineLevel="0" collapsed="false">
      <c r="A3" s="18" t="s">
        <v>23</v>
      </c>
    </row>
    <row r="4" customFormat="false" ht="23.85" hidden="false" customHeight="false" outlineLevel="0" collapsed="false">
      <c r="A4" s="18" t="s">
        <v>24</v>
      </c>
    </row>
    <row r="5" customFormat="false" ht="15" hidden="false" customHeight="false" outlineLevel="0" collapsed="false">
      <c r="A5" s="18" t="s">
        <v>25</v>
      </c>
    </row>
    <row r="6" customFormat="false" ht="15" hidden="false" customHeight="false" outlineLevel="0" collapsed="false">
      <c r="A6" s="18" t="s">
        <v>26</v>
      </c>
    </row>
    <row r="7" customFormat="false" ht="15" hidden="false" customHeight="false" outlineLevel="0" collapsed="false">
      <c r="A7" s="18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2026-10-23T23:55:04Z</dcterms:created>
  <dc:creator>openpyxl</dc:creator>
  <dc:description/>
  <dc:language>en-US</dc:language>
  <cp:lastModifiedBy/>
  <dcterms:modified xsi:type="dcterms:W3CDTF">2026-10-23T23:55:04Z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